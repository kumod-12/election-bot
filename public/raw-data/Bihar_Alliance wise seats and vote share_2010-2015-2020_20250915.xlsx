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DTV_2025\NDTV_Data_2025\NDTV_Dashboard_2025\"/>
    </mc:Choice>
  </mc:AlternateContent>
  <xr:revisionPtr revIDLastSave="0" documentId="8_{782077EC-E333-4E8D-9B0C-17AECBC5FCB7}" xr6:coauthVersionLast="47" xr6:coauthVersionMax="47" xr10:uidLastSave="{00000000-0000-0000-0000-000000000000}"/>
  <bookViews>
    <workbookView xWindow="-110" yWindow="-110" windowWidth="19420" windowHeight="10300" xr2:uid="{F26BBBDE-0845-4CCB-96BD-44B637D74100}"/>
  </bookViews>
  <sheets>
    <sheet name="AE_2020" sheetId="1" r:id="rId1"/>
    <sheet name="AE_2015" sheetId="2" r:id="rId2"/>
    <sheet name="AE_201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0" i="3" l="1"/>
  <c r="E10" i="3"/>
  <c r="K9" i="3"/>
  <c r="E9" i="3"/>
  <c r="K8" i="3"/>
  <c r="E8" i="3"/>
  <c r="K7" i="3"/>
  <c r="E7" i="3"/>
  <c r="K6" i="3"/>
  <c r="E6" i="3"/>
  <c r="K5" i="3"/>
  <c r="E5" i="3"/>
  <c r="K4" i="3"/>
  <c r="E4" i="3"/>
  <c r="K3" i="3"/>
  <c r="E3" i="3"/>
  <c r="K10" i="2"/>
  <c r="E10" i="2"/>
  <c r="K9" i="2"/>
  <c r="E9" i="2"/>
  <c r="K8" i="2"/>
  <c r="E8" i="2"/>
  <c r="K7" i="2"/>
  <c r="E7" i="2"/>
  <c r="K6" i="2"/>
  <c r="E6" i="2"/>
  <c r="K5" i="2"/>
  <c r="E5" i="2"/>
  <c r="K4" i="2"/>
  <c r="E4" i="2"/>
  <c r="K3" i="2"/>
  <c r="E3" i="2"/>
  <c r="K10" i="1"/>
  <c r="E10" i="1"/>
  <c r="K9" i="1"/>
  <c r="E9" i="1"/>
  <c r="K8" i="1"/>
  <c r="E8" i="1"/>
  <c r="K7" i="1"/>
  <c r="E7" i="1"/>
  <c r="K6" i="1"/>
  <c r="E6" i="1"/>
  <c r="K5" i="1"/>
  <c r="E5" i="1"/>
  <c r="K4" i="1"/>
  <c r="E4" i="1"/>
  <c r="K3" i="1"/>
  <c r="E3" i="1"/>
</calcChain>
</file>

<file path=xl/sharedStrings.xml><?xml version="1.0" encoding="utf-8"?>
<sst xmlns="http://schemas.openxmlformats.org/spreadsheetml/2006/main" count="84" uniqueCount="19">
  <si>
    <t>AE_2010_Vote Share</t>
  </si>
  <si>
    <t>AE_2010_Seat Share</t>
  </si>
  <si>
    <t>Region New</t>
  </si>
  <si>
    <t>NDA</t>
  </si>
  <si>
    <t>MGB</t>
  </si>
  <si>
    <t>OTH</t>
  </si>
  <si>
    <t>Total</t>
  </si>
  <si>
    <t>Tirhut</t>
  </si>
  <si>
    <t>Mithilanchal</t>
  </si>
  <si>
    <t>Koshi</t>
  </si>
  <si>
    <t>Seemanchal</t>
  </si>
  <si>
    <t xml:space="preserve">Anga Pradesh </t>
  </si>
  <si>
    <t>Magadh</t>
  </si>
  <si>
    <t>Shahabad</t>
  </si>
  <si>
    <t>Overall</t>
  </si>
  <si>
    <t>AE_2015_Vote Share</t>
  </si>
  <si>
    <t>AE_2015_Seat Share</t>
  </si>
  <si>
    <t>AE_2020_Vote Share</t>
  </si>
  <si>
    <t>AE_2020_Seat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</si>
</sst>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2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2CD5-E7E0-4FB1-B68A-8DFC9B6CDDB0}">
  <dimension ref="A1:K10"/>
  <sheetViews>
    <sheetView tabSelected="1" workbookViewId="0">
      <selection activeCell="B16" sqref="B16"/>
    </sheetView>
  </sheetViews>
  <sheetFormatPr defaultRowHeight="15.5" x14ac:dyDescent="0.35"/>
  <cols>
    <col min="1" max="1" width="20.90625" style="4" bestFit="1" customWidth="1"/>
    <col min="2" max="6" width="8.7265625" style="4"/>
    <col min="7" max="7" width="20.54296875" style="4" bestFit="1" customWidth="1"/>
    <col min="8" max="16384" width="8.7265625" style="4"/>
  </cols>
  <sheetData>
    <row r="1" spans="1:11" x14ac:dyDescent="0.35">
      <c r="A1" s="1" t="s">
        <v>17</v>
      </c>
      <c r="B1" s="2"/>
      <c r="C1" s="2"/>
      <c r="D1" s="2"/>
      <c r="E1" s="2"/>
      <c r="F1" s="3"/>
      <c r="G1" s="1" t="s">
        <v>18</v>
      </c>
      <c r="H1" s="3"/>
      <c r="I1" s="3"/>
      <c r="J1" s="3"/>
      <c r="K1" s="3"/>
    </row>
    <row r="2" spans="1:11" x14ac:dyDescent="0.35">
      <c r="A2" s="5" t="s">
        <v>2</v>
      </c>
      <c r="B2" s="6" t="s">
        <v>3</v>
      </c>
      <c r="C2" s="7" t="s">
        <v>4</v>
      </c>
      <c r="D2" s="8" t="s">
        <v>5</v>
      </c>
      <c r="E2" s="8" t="s">
        <v>6</v>
      </c>
      <c r="F2" s="1"/>
      <c r="G2" s="5" t="s">
        <v>2</v>
      </c>
      <c r="H2" s="9" t="s">
        <v>3</v>
      </c>
      <c r="I2" s="10" t="s">
        <v>4</v>
      </c>
      <c r="J2" s="11" t="s">
        <v>5</v>
      </c>
      <c r="K2" s="11" t="s">
        <v>6</v>
      </c>
    </row>
    <row r="3" spans="1:11" x14ac:dyDescent="0.35">
      <c r="A3" s="12" t="s">
        <v>7</v>
      </c>
      <c r="B3" s="13">
        <v>42.930921807778226</v>
      </c>
      <c r="C3" s="13">
        <v>36.283570437313763</v>
      </c>
      <c r="D3" s="13">
        <v>20.785507754908014</v>
      </c>
      <c r="E3" s="13">
        <f>SUM(B3:D3)</f>
        <v>100</v>
      </c>
      <c r="F3" s="1"/>
      <c r="G3" s="12" t="s">
        <v>7</v>
      </c>
      <c r="H3" s="14">
        <v>34</v>
      </c>
      <c r="I3" s="14">
        <v>28</v>
      </c>
      <c r="J3" s="14">
        <v>2</v>
      </c>
      <c r="K3" s="14">
        <f>SUM(H3:J3)</f>
        <v>64</v>
      </c>
    </row>
    <row r="4" spans="1:11" x14ac:dyDescent="0.35">
      <c r="A4" s="12" t="s">
        <v>8</v>
      </c>
      <c r="B4" s="13">
        <v>45.447252464624718</v>
      </c>
      <c r="C4" s="13">
        <v>37.401928249421317</v>
      </c>
      <c r="D4" s="13">
        <v>17.150819285953961</v>
      </c>
      <c r="E4" s="13">
        <f t="shared" ref="E4:E10" si="0">SUM(B4:D4)</f>
        <v>100</v>
      </c>
      <c r="F4" s="1"/>
      <c r="G4" s="12" t="s">
        <v>8</v>
      </c>
      <c r="H4" s="14">
        <v>29</v>
      </c>
      <c r="I4" s="14">
        <v>15</v>
      </c>
      <c r="J4" s="14">
        <v>2</v>
      </c>
      <c r="K4" s="14">
        <f t="shared" ref="K4:K10" si="1">SUM(H4:J4)</f>
        <v>46</v>
      </c>
    </row>
    <row r="5" spans="1:11" x14ac:dyDescent="0.35">
      <c r="A5" s="12" t="s">
        <v>9</v>
      </c>
      <c r="B5" s="13">
        <v>45.154745359130203</v>
      </c>
      <c r="C5" s="13">
        <v>36.283145544011447</v>
      </c>
      <c r="D5" s="13">
        <v>18.562109096858347</v>
      </c>
      <c r="E5" s="13">
        <f t="shared" si="0"/>
        <v>100</v>
      </c>
      <c r="F5" s="1"/>
      <c r="G5" s="12" t="s">
        <v>9</v>
      </c>
      <c r="H5" s="14">
        <v>10</v>
      </c>
      <c r="I5" s="14">
        <v>3</v>
      </c>
      <c r="J5" s="14">
        <v>0</v>
      </c>
      <c r="K5" s="14">
        <f t="shared" si="1"/>
        <v>13</v>
      </c>
    </row>
    <row r="6" spans="1:11" x14ac:dyDescent="0.35">
      <c r="A6" s="12" t="s">
        <v>10</v>
      </c>
      <c r="B6" s="13">
        <v>38.825095031392394</v>
      </c>
      <c r="C6" s="13">
        <v>35.839861707125728</v>
      </c>
      <c r="D6" s="13">
        <v>25.335043261481882</v>
      </c>
      <c r="E6" s="13">
        <f t="shared" si="0"/>
        <v>100.00000000000001</v>
      </c>
      <c r="F6" s="1"/>
      <c r="G6" s="12" t="s">
        <v>10</v>
      </c>
      <c r="H6" s="14">
        <v>12</v>
      </c>
      <c r="I6" s="14">
        <v>7</v>
      </c>
      <c r="J6" s="14">
        <v>5</v>
      </c>
      <c r="K6" s="14">
        <f t="shared" si="1"/>
        <v>24</v>
      </c>
    </row>
    <row r="7" spans="1:11" x14ac:dyDescent="0.35">
      <c r="A7" s="12" t="s">
        <v>11</v>
      </c>
      <c r="B7" s="13">
        <v>48.157600401634753</v>
      </c>
      <c r="C7" s="13">
        <v>35.178985108215002</v>
      </c>
      <c r="D7" s="13">
        <v>16.663414490150245</v>
      </c>
      <c r="E7" s="13">
        <f t="shared" si="0"/>
        <v>100</v>
      </c>
      <c r="F7" s="1"/>
      <c r="G7" s="12" t="s">
        <v>11</v>
      </c>
      <c r="H7" s="14">
        <v>18</v>
      </c>
      <c r="I7" s="14">
        <v>8</v>
      </c>
      <c r="J7" s="14">
        <v>1</v>
      </c>
      <c r="K7" s="14">
        <f t="shared" si="1"/>
        <v>27</v>
      </c>
    </row>
    <row r="8" spans="1:11" x14ac:dyDescent="0.35">
      <c r="A8" s="12" t="s">
        <v>12</v>
      </c>
      <c r="B8" s="13">
        <v>42.348145607389142</v>
      </c>
      <c r="C8" s="13">
        <v>39.679333754032491</v>
      </c>
      <c r="D8" s="13">
        <v>17.972520638578366</v>
      </c>
      <c r="E8" s="13">
        <f t="shared" si="0"/>
        <v>100</v>
      </c>
      <c r="F8" s="1"/>
      <c r="G8" s="12" t="s">
        <v>12</v>
      </c>
      <c r="H8" s="14">
        <v>17</v>
      </c>
      <c r="I8" s="14">
        <v>30</v>
      </c>
      <c r="J8" s="14">
        <v>0</v>
      </c>
      <c r="K8" s="14">
        <f t="shared" si="1"/>
        <v>47</v>
      </c>
    </row>
    <row r="9" spans="1:11" x14ac:dyDescent="0.35">
      <c r="A9" s="12" t="s">
        <v>13</v>
      </c>
      <c r="B9" s="13">
        <v>38.487518595062888</v>
      </c>
      <c r="C9" s="13">
        <v>39.31692730752053</v>
      </c>
      <c r="D9" s="13">
        <v>22.195554097416586</v>
      </c>
      <c r="E9" s="13">
        <f t="shared" si="0"/>
        <v>100</v>
      </c>
      <c r="F9" s="1"/>
      <c r="G9" s="12" t="s">
        <v>13</v>
      </c>
      <c r="H9" s="14">
        <v>2</v>
      </c>
      <c r="I9" s="14">
        <v>19</v>
      </c>
      <c r="J9" s="14">
        <v>1</v>
      </c>
      <c r="K9" s="14">
        <f t="shared" si="1"/>
        <v>22</v>
      </c>
    </row>
    <row r="10" spans="1:11" x14ac:dyDescent="0.35">
      <c r="A10" s="15" t="s">
        <v>14</v>
      </c>
      <c r="B10" s="16">
        <v>43.165856143888909</v>
      </c>
      <c r="C10" s="16">
        <v>37.231477174825663</v>
      </c>
      <c r="D10" s="16">
        <v>19.602666681285434</v>
      </c>
      <c r="E10" s="16">
        <f t="shared" si="0"/>
        <v>100</v>
      </c>
      <c r="F10" s="1"/>
      <c r="G10" s="15" t="s">
        <v>14</v>
      </c>
      <c r="H10" s="17">
        <v>122</v>
      </c>
      <c r="I10" s="17">
        <v>110</v>
      </c>
      <c r="J10" s="17">
        <v>11</v>
      </c>
      <c r="K10" s="17">
        <f t="shared" si="1"/>
        <v>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EA623-094D-430B-83D0-2A4E19142401}">
  <dimension ref="A1:K11"/>
  <sheetViews>
    <sheetView workbookViewId="0">
      <selection activeCell="G13" sqref="G13"/>
    </sheetView>
  </sheetViews>
  <sheetFormatPr defaultRowHeight="15.5" x14ac:dyDescent="0.35"/>
  <cols>
    <col min="1" max="1" width="20.90625" style="4" bestFit="1" customWidth="1"/>
    <col min="2" max="2" width="5.453125" style="4" bestFit="1" customWidth="1"/>
    <col min="3" max="3" width="6" style="4" bestFit="1" customWidth="1"/>
    <col min="4" max="4" width="5.6328125" style="4" bestFit="1" customWidth="1"/>
    <col min="5" max="5" width="5.7265625" style="4" bestFit="1" customWidth="1"/>
    <col min="6" max="6" width="8.7265625" style="4"/>
    <col min="7" max="7" width="20.54296875" style="4" bestFit="1" customWidth="1"/>
    <col min="8" max="8" width="5.453125" style="4" bestFit="1" customWidth="1"/>
    <col min="9" max="9" width="6" style="4" bestFit="1" customWidth="1"/>
    <col min="10" max="10" width="5.6328125" style="4" bestFit="1" customWidth="1"/>
    <col min="11" max="11" width="5.7265625" style="4" bestFit="1" customWidth="1"/>
    <col min="12" max="16384" width="8.7265625" style="4"/>
  </cols>
  <sheetData>
    <row r="1" spans="1:11" x14ac:dyDescent="0.35">
      <c r="A1" s="1" t="s">
        <v>15</v>
      </c>
      <c r="B1" s="2"/>
      <c r="C1" s="2"/>
      <c r="D1" s="2"/>
      <c r="E1" s="2"/>
      <c r="F1" s="3"/>
      <c r="G1" s="1" t="s">
        <v>16</v>
      </c>
      <c r="H1" s="3"/>
      <c r="I1" s="3"/>
      <c r="J1" s="3"/>
      <c r="K1" s="3"/>
    </row>
    <row r="2" spans="1:11" x14ac:dyDescent="0.35">
      <c r="A2" s="5" t="s">
        <v>2</v>
      </c>
      <c r="B2" s="6" t="s">
        <v>3</v>
      </c>
      <c r="C2" s="7" t="s">
        <v>4</v>
      </c>
      <c r="D2" s="8" t="s">
        <v>5</v>
      </c>
      <c r="E2" s="8" t="s">
        <v>6</v>
      </c>
      <c r="F2" s="1"/>
      <c r="G2" s="5" t="s">
        <v>2</v>
      </c>
      <c r="H2" s="9" t="s">
        <v>3</v>
      </c>
      <c r="I2" s="10" t="s">
        <v>4</v>
      </c>
      <c r="J2" s="11" t="s">
        <v>5</v>
      </c>
      <c r="K2" s="11" t="s">
        <v>6</v>
      </c>
    </row>
    <row r="3" spans="1:11" x14ac:dyDescent="0.35">
      <c r="A3" s="12" t="s">
        <v>7</v>
      </c>
      <c r="B3" s="13">
        <v>49.544911033502643</v>
      </c>
      <c r="C3" s="13">
        <v>29.405028582717812</v>
      </c>
      <c r="D3" s="13">
        <v>21.050060383779545</v>
      </c>
      <c r="E3" s="13">
        <f>SUM(B3:D3)</f>
        <v>100</v>
      </c>
      <c r="F3" s="1"/>
      <c r="G3" s="12" t="s">
        <v>7</v>
      </c>
      <c r="H3" s="14">
        <v>33</v>
      </c>
      <c r="I3" s="14">
        <v>28</v>
      </c>
      <c r="J3" s="14">
        <v>3</v>
      </c>
      <c r="K3" s="14">
        <f>SUM(H3:J3)</f>
        <v>64</v>
      </c>
    </row>
    <row r="4" spans="1:11" x14ac:dyDescent="0.35">
      <c r="A4" s="12" t="s">
        <v>8</v>
      </c>
      <c r="B4" s="13">
        <v>49.308080632066179</v>
      </c>
      <c r="C4" s="13">
        <v>31.562663991035716</v>
      </c>
      <c r="D4" s="13">
        <v>19.129255376898101</v>
      </c>
      <c r="E4" s="13">
        <f t="shared" ref="E4:E10" si="0">SUM(B4:D4)</f>
        <v>100</v>
      </c>
      <c r="F4" s="1"/>
      <c r="G4" s="12" t="s">
        <v>8</v>
      </c>
      <c r="H4" s="14">
        <v>24</v>
      </c>
      <c r="I4" s="14">
        <v>22</v>
      </c>
      <c r="J4" s="14">
        <v>0</v>
      </c>
      <c r="K4" s="14">
        <f t="shared" ref="K4:K10" si="1">SUM(H4:J4)</f>
        <v>46</v>
      </c>
    </row>
    <row r="5" spans="1:11" x14ac:dyDescent="0.35">
      <c r="A5" s="12" t="s">
        <v>9</v>
      </c>
      <c r="B5" s="13">
        <v>58.830184051446764</v>
      </c>
      <c r="C5" s="13">
        <v>20.281531516014191</v>
      </c>
      <c r="D5" s="13">
        <v>20.888284432539042</v>
      </c>
      <c r="E5" s="13">
        <f t="shared" si="0"/>
        <v>99.999999999999986</v>
      </c>
      <c r="F5" s="1"/>
      <c r="G5" s="12" t="s">
        <v>9</v>
      </c>
      <c r="H5" s="14">
        <v>9</v>
      </c>
      <c r="I5" s="14">
        <v>4</v>
      </c>
      <c r="J5" s="14">
        <v>0</v>
      </c>
      <c r="K5" s="14">
        <f t="shared" si="1"/>
        <v>13</v>
      </c>
    </row>
    <row r="6" spans="1:11" x14ac:dyDescent="0.35">
      <c r="A6" s="12" t="s">
        <v>10</v>
      </c>
      <c r="B6" s="13">
        <v>46.217066757415694</v>
      </c>
      <c r="C6" s="13">
        <v>28.221905783273066</v>
      </c>
      <c r="D6" s="13">
        <v>25.561027459311241</v>
      </c>
      <c r="E6" s="13">
        <f t="shared" si="0"/>
        <v>100</v>
      </c>
      <c r="F6" s="1"/>
      <c r="G6" s="12" t="s">
        <v>10</v>
      </c>
      <c r="H6" s="14">
        <v>12</v>
      </c>
      <c r="I6" s="14">
        <v>12</v>
      </c>
      <c r="J6" s="14">
        <v>0</v>
      </c>
      <c r="K6" s="14">
        <f t="shared" si="1"/>
        <v>24</v>
      </c>
    </row>
    <row r="7" spans="1:11" x14ac:dyDescent="0.35">
      <c r="A7" s="12" t="s">
        <v>11</v>
      </c>
      <c r="B7" s="13">
        <v>55.653210131457044</v>
      </c>
      <c r="C7" s="13">
        <v>23.078480644751103</v>
      </c>
      <c r="D7" s="13">
        <v>21.268309223791849</v>
      </c>
      <c r="E7" s="13">
        <f t="shared" si="0"/>
        <v>100</v>
      </c>
      <c r="F7" s="1"/>
      <c r="G7" s="12" t="s">
        <v>11</v>
      </c>
      <c r="H7" s="14">
        <v>15</v>
      </c>
      <c r="I7" s="14">
        <v>12</v>
      </c>
      <c r="J7" s="14">
        <v>0</v>
      </c>
      <c r="K7" s="14">
        <f t="shared" si="1"/>
        <v>27</v>
      </c>
    </row>
    <row r="8" spans="1:11" x14ac:dyDescent="0.35">
      <c r="A8" s="12" t="s">
        <v>12</v>
      </c>
      <c r="B8" s="13">
        <v>54.05992247344178</v>
      </c>
      <c r="C8" s="13">
        <v>27.919824008612721</v>
      </c>
      <c r="D8" s="13">
        <v>18.020253517945502</v>
      </c>
      <c r="E8" s="13">
        <f t="shared" si="0"/>
        <v>100.00000000000001</v>
      </c>
      <c r="F8" s="1"/>
      <c r="G8" s="12" t="s">
        <v>12</v>
      </c>
      <c r="H8" s="14">
        <v>26</v>
      </c>
      <c r="I8" s="14">
        <v>20</v>
      </c>
      <c r="J8" s="14">
        <v>1</v>
      </c>
      <c r="K8" s="14">
        <f t="shared" si="1"/>
        <v>47</v>
      </c>
    </row>
    <row r="9" spans="1:11" x14ac:dyDescent="0.35">
      <c r="A9" s="12" t="s">
        <v>13</v>
      </c>
      <c r="B9" s="13">
        <v>46.360674752498667</v>
      </c>
      <c r="C9" s="13">
        <v>33.155921605547903</v>
      </c>
      <c r="D9" s="13">
        <v>20.483403641953426</v>
      </c>
      <c r="E9" s="13">
        <f t="shared" si="0"/>
        <v>100</v>
      </c>
      <c r="F9" s="1"/>
      <c r="G9" s="12" t="s">
        <v>13</v>
      </c>
      <c r="H9" s="14">
        <v>10</v>
      </c>
      <c r="I9" s="14">
        <v>12</v>
      </c>
      <c r="J9" s="14">
        <v>0</v>
      </c>
      <c r="K9" s="14">
        <f t="shared" si="1"/>
        <v>22</v>
      </c>
    </row>
    <row r="10" spans="1:11" x14ac:dyDescent="0.35">
      <c r="A10" s="15" t="s">
        <v>14</v>
      </c>
      <c r="B10" s="16">
        <v>50.91191728547367</v>
      </c>
      <c r="C10" s="16">
        <v>28.519629159653309</v>
      </c>
      <c r="D10" s="16">
        <v>20.568453554873013</v>
      </c>
      <c r="E10" s="16">
        <f t="shared" si="0"/>
        <v>100</v>
      </c>
      <c r="F10" s="1"/>
      <c r="G10" s="15" t="s">
        <v>14</v>
      </c>
      <c r="H10" s="17">
        <v>129</v>
      </c>
      <c r="I10" s="17">
        <v>110</v>
      </c>
      <c r="J10" s="17">
        <v>4</v>
      </c>
      <c r="K10" s="17">
        <f t="shared" si="1"/>
        <v>243</v>
      </c>
    </row>
    <row r="11" spans="1:11" x14ac:dyDescent="0.35">
      <c r="A11" s="1"/>
      <c r="B11" s="18"/>
      <c r="C11" s="18"/>
      <c r="D11" s="18"/>
      <c r="E11" s="18"/>
      <c r="F11" s="1"/>
      <c r="G11" s="1"/>
      <c r="H11" s="1"/>
      <c r="I11" s="1"/>
      <c r="J11" s="1"/>
      <c r="K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B1D5D-13CC-4098-996A-CFD64EEBB589}">
  <dimension ref="A1:K11"/>
  <sheetViews>
    <sheetView workbookViewId="0">
      <selection activeCell="D15" sqref="D15"/>
    </sheetView>
  </sheetViews>
  <sheetFormatPr defaultRowHeight="15.5" x14ac:dyDescent="0.35"/>
  <cols>
    <col min="1" max="1" width="20.90625" style="4" bestFit="1" customWidth="1"/>
    <col min="2" max="2" width="5.453125" style="4" bestFit="1" customWidth="1"/>
    <col min="3" max="3" width="6" style="4" bestFit="1" customWidth="1"/>
    <col min="4" max="4" width="5.6328125" style="4" bestFit="1" customWidth="1"/>
    <col min="5" max="5" width="5.7265625" style="4" bestFit="1" customWidth="1"/>
    <col min="6" max="6" width="8.7265625" style="4"/>
    <col min="7" max="7" width="20.54296875" style="4" bestFit="1" customWidth="1"/>
    <col min="8" max="8" width="5.453125" style="4" bestFit="1" customWidth="1"/>
    <col min="9" max="9" width="6" style="4" bestFit="1" customWidth="1"/>
    <col min="10" max="10" width="5.6328125" style="4" bestFit="1" customWidth="1"/>
    <col min="11" max="11" width="5.7265625" style="4" bestFit="1" customWidth="1"/>
    <col min="12" max="16384" width="8.7265625" style="4"/>
  </cols>
  <sheetData>
    <row r="1" spans="1:11" x14ac:dyDescent="0.35">
      <c r="A1" s="1" t="s">
        <v>0</v>
      </c>
      <c r="B1" s="2"/>
      <c r="C1" s="2"/>
      <c r="D1" s="2"/>
      <c r="E1" s="2"/>
      <c r="F1" s="3"/>
      <c r="G1" s="1" t="s">
        <v>1</v>
      </c>
      <c r="H1" s="3"/>
      <c r="I1" s="3"/>
      <c r="J1" s="3"/>
      <c r="K1" s="3"/>
    </row>
    <row r="2" spans="1:11" x14ac:dyDescent="0.35">
      <c r="A2" s="5" t="s">
        <v>2</v>
      </c>
      <c r="B2" s="6" t="s">
        <v>3</v>
      </c>
      <c r="C2" s="7" t="s">
        <v>4</v>
      </c>
      <c r="D2" s="8" t="s">
        <v>5</v>
      </c>
      <c r="E2" s="8" t="s">
        <v>6</v>
      </c>
      <c r="F2" s="1"/>
      <c r="G2" s="5" t="s">
        <v>2</v>
      </c>
      <c r="H2" s="9" t="s">
        <v>3</v>
      </c>
      <c r="I2" s="10" t="s">
        <v>4</v>
      </c>
      <c r="J2" s="11" t="s">
        <v>5</v>
      </c>
      <c r="K2" s="11" t="s">
        <v>6</v>
      </c>
    </row>
    <row r="3" spans="1:11" x14ac:dyDescent="0.35">
      <c r="A3" s="12" t="s">
        <v>7</v>
      </c>
      <c r="B3" s="13">
        <v>44.327218563834151</v>
      </c>
      <c r="C3" s="13">
        <v>28.701563076853702</v>
      </c>
      <c r="D3" s="13">
        <v>26.971218359312143</v>
      </c>
      <c r="E3" s="13">
        <f>SUM(B3:D3)</f>
        <v>100</v>
      </c>
      <c r="F3" s="1"/>
      <c r="G3" s="12" t="s">
        <v>7</v>
      </c>
      <c r="H3" s="14">
        <v>58</v>
      </c>
      <c r="I3" s="14">
        <v>3</v>
      </c>
      <c r="J3" s="14">
        <v>3</v>
      </c>
      <c r="K3" s="14">
        <f>SUM(H3:J3)</f>
        <v>64</v>
      </c>
    </row>
    <row r="4" spans="1:11" x14ac:dyDescent="0.35">
      <c r="A4" s="12" t="s">
        <v>8</v>
      </c>
      <c r="B4" s="13">
        <v>43.002809474387831</v>
      </c>
      <c r="C4" s="13">
        <v>36.840286439870177</v>
      </c>
      <c r="D4" s="13">
        <v>20.156904085741996</v>
      </c>
      <c r="E4" s="13">
        <f t="shared" ref="E4:E10" si="0">SUM(B4:D4)</f>
        <v>100.00000000000001</v>
      </c>
      <c r="F4" s="1"/>
      <c r="G4" s="12" t="s">
        <v>8</v>
      </c>
      <c r="H4" s="14">
        <v>38</v>
      </c>
      <c r="I4" s="14">
        <v>8</v>
      </c>
      <c r="J4" s="14">
        <v>0</v>
      </c>
      <c r="K4" s="14">
        <f t="shared" ref="K4:K10" si="1">SUM(H4:J4)</f>
        <v>46</v>
      </c>
    </row>
    <row r="5" spans="1:11" x14ac:dyDescent="0.35">
      <c r="A5" s="12" t="s">
        <v>9</v>
      </c>
      <c r="B5" s="13">
        <v>52.480911500573647</v>
      </c>
      <c r="C5" s="13">
        <v>31.287562380255341</v>
      </c>
      <c r="D5" s="13">
        <v>16.231526119171015</v>
      </c>
      <c r="E5" s="13">
        <f t="shared" si="0"/>
        <v>100</v>
      </c>
      <c r="F5" s="1"/>
      <c r="G5" s="12" t="s">
        <v>9</v>
      </c>
      <c r="H5" s="14">
        <v>11</v>
      </c>
      <c r="I5" s="14">
        <v>2</v>
      </c>
      <c r="J5" s="14">
        <v>0</v>
      </c>
      <c r="K5" s="14">
        <f t="shared" si="1"/>
        <v>13</v>
      </c>
    </row>
    <row r="6" spans="1:11" x14ac:dyDescent="0.35">
      <c r="A6" s="12" t="s">
        <v>10</v>
      </c>
      <c r="B6" s="13">
        <v>44.525639176678595</v>
      </c>
      <c r="C6" s="13">
        <v>29.086651997466095</v>
      </c>
      <c r="D6" s="13">
        <v>26.387708825855317</v>
      </c>
      <c r="E6" s="13">
        <f t="shared" si="0"/>
        <v>100</v>
      </c>
      <c r="F6" s="1"/>
      <c r="G6" s="12" t="s">
        <v>10</v>
      </c>
      <c r="H6" s="14">
        <v>19</v>
      </c>
      <c r="I6" s="14">
        <v>4</v>
      </c>
      <c r="J6" s="14">
        <v>1</v>
      </c>
      <c r="K6" s="14">
        <f t="shared" si="1"/>
        <v>24</v>
      </c>
    </row>
    <row r="7" spans="1:11" x14ac:dyDescent="0.35">
      <c r="A7" s="12" t="s">
        <v>11</v>
      </c>
      <c r="B7" s="13">
        <v>44.132945426129965</v>
      </c>
      <c r="C7" s="13">
        <v>33.297852994560486</v>
      </c>
      <c r="D7" s="13">
        <v>22.569201579309549</v>
      </c>
      <c r="E7" s="13">
        <f t="shared" si="0"/>
        <v>100</v>
      </c>
      <c r="F7" s="1"/>
      <c r="G7" s="12" t="s">
        <v>11</v>
      </c>
      <c r="H7" s="14">
        <v>23</v>
      </c>
      <c r="I7" s="14">
        <v>3</v>
      </c>
      <c r="J7" s="14">
        <v>1</v>
      </c>
      <c r="K7" s="14">
        <f t="shared" si="1"/>
        <v>27</v>
      </c>
    </row>
    <row r="8" spans="1:11" x14ac:dyDescent="0.35">
      <c r="A8" s="12" t="s">
        <v>12</v>
      </c>
      <c r="B8" s="13">
        <v>52.961388417164059</v>
      </c>
      <c r="C8" s="13">
        <v>28.775677362483464</v>
      </c>
      <c r="D8" s="13">
        <v>18.262934220352481</v>
      </c>
      <c r="E8" s="13">
        <f t="shared" si="0"/>
        <v>100</v>
      </c>
      <c r="F8" s="1"/>
      <c r="G8" s="12" t="s">
        <v>12</v>
      </c>
      <c r="H8" s="14">
        <v>42</v>
      </c>
      <c r="I8" s="14">
        <v>4</v>
      </c>
      <c r="J8" s="14">
        <v>1</v>
      </c>
      <c r="K8" s="14">
        <f t="shared" si="1"/>
        <v>47</v>
      </c>
    </row>
    <row r="9" spans="1:11" x14ac:dyDescent="0.35">
      <c r="A9" s="12" t="s">
        <v>13</v>
      </c>
      <c r="B9" s="13">
        <v>39.989982099341852</v>
      </c>
      <c r="C9" s="13">
        <v>33.981152675966477</v>
      </c>
      <c r="D9" s="13">
        <v>26.028865224691661</v>
      </c>
      <c r="E9" s="13">
        <f t="shared" si="0"/>
        <v>99.999999999999986</v>
      </c>
      <c r="F9" s="1"/>
      <c r="G9" s="12" t="s">
        <v>13</v>
      </c>
      <c r="H9" s="14">
        <v>18</v>
      </c>
      <c r="I9" s="14">
        <v>3</v>
      </c>
      <c r="J9" s="14">
        <v>1</v>
      </c>
      <c r="K9" s="14">
        <f t="shared" si="1"/>
        <v>22</v>
      </c>
    </row>
    <row r="10" spans="1:11" x14ac:dyDescent="0.35">
      <c r="A10" s="15" t="s">
        <v>14</v>
      </c>
      <c r="B10" s="16">
        <v>45.802523755098491</v>
      </c>
      <c r="C10" s="16">
        <v>31.404523080324161</v>
      </c>
      <c r="D10" s="16">
        <v>22.792953164577348</v>
      </c>
      <c r="E10" s="16">
        <f t="shared" si="0"/>
        <v>100</v>
      </c>
      <c r="F10" s="1"/>
      <c r="G10" s="15" t="s">
        <v>14</v>
      </c>
      <c r="H10" s="17">
        <v>209</v>
      </c>
      <c r="I10" s="17">
        <v>27</v>
      </c>
      <c r="J10" s="17">
        <v>7</v>
      </c>
      <c r="K10" s="17">
        <f t="shared" si="1"/>
        <v>243</v>
      </c>
    </row>
    <row r="11" spans="1:11" x14ac:dyDescent="0.35">
      <c r="A11" s="1"/>
      <c r="B11" s="18"/>
      <c r="C11" s="18"/>
      <c r="D11" s="18"/>
      <c r="E11" s="18"/>
      <c r="F11" s="1"/>
      <c r="G11" s="1"/>
      <c r="H11" s="1"/>
      <c r="I11" s="1"/>
      <c r="J11" s="1"/>
      <c r="K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AE_2020</vt:lpstr>
      <vt:lpstr>AE_2015</vt:lpstr>
      <vt:lpstr>AE_2010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Ranjan</dc:creator>
  <cp:lastModifiedBy>Ashish Ranjan</cp:lastModifiedBy>
  <dcterms:created xsi:type="dcterms:W3CDTF">2025-09-15T19:11:21Z</dcterms:created>
  <dcterms:modified xsi:type="dcterms:W3CDTF">2025-09-15T19:16:37Z</dcterms:modified>
</cp:coreProperties>
</file>